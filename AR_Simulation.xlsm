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haitanyayarlagadda/Downloads/"/>
    </mc:Choice>
  </mc:AlternateContent>
  <xr:revisionPtr revIDLastSave="0" documentId="8_{A506AD87-3F15-2A49-B08B-47263A23DFDB}" xr6:coauthVersionLast="47" xr6:coauthVersionMax="47" xr10:uidLastSave="{00000000-0000-0000-0000-000000000000}"/>
  <bookViews>
    <workbookView xWindow="1040" yWindow="600" windowWidth="27120" windowHeight="17020" activeTab="1" xr2:uid="{6EB6846F-9E22-7E44-8CA7-515B15F3B6DF}"/>
  </bookViews>
  <sheets>
    <sheet name="Dashboard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2" l="1"/>
  <c r="D6" i="2"/>
  <c r="F6" i="2" s="1"/>
</calcChain>
</file>

<file path=xl/sharedStrings.xml><?xml version="1.0" encoding="utf-8"?>
<sst xmlns="http://schemas.openxmlformats.org/spreadsheetml/2006/main" count="85" uniqueCount="59">
  <si>
    <t>Invoice_ID</t>
  </si>
  <si>
    <t>Customer_Name</t>
  </si>
  <si>
    <t>Invoice_Date</t>
  </si>
  <si>
    <t>Balance_Due</t>
  </si>
  <si>
    <t>AR_Status_Alert</t>
  </si>
  <si>
    <t>INV-2026-001</t>
  </si>
  <si>
    <t>Valencia Senior Living</t>
  </si>
  <si>
    <t>Medicare</t>
  </si>
  <si>
    <t>INV-2026-002</t>
  </si>
  <si>
    <t>Santa Clarita Care Center</t>
  </si>
  <si>
    <t>INV-2026-003</t>
  </si>
  <si>
    <t>Henry Mayo Hospital</t>
  </si>
  <si>
    <t>Commercial</t>
  </si>
  <si>
    <t>INV-2026-004</t>
  </si>
  <si>
    <t>Antelope Valley Medical</t>
  </si>
  <si>
    <t>INV-2026-005</t>
  </si>
  <si>
    <t>Golden State Pediatrics</t>
  </si>
  <si>
    <t>INV-2026-006</t>
  </si>
  <si>
    <t>Canyon Country Hospice</t>
  </si>
  <si>
    <t>INV-2026-007</t>
  </si>
  <si>
    <t>Sierra Medical Supply</t>
  </si>
  <si>
    <t>INV-2026-008</t>
  </si>
  <si>
    <t>Placerita Care Facility</t>
  </si>
  <si>
    <t>INV-2026-009</t>
  </si>
  <si>
    <t>Newhall Urgent Care</t>
  </si>
  <si>
    <t>INV-2026-010</t>
  </si>
  <si>
    <t>Bouquet Canyon Pharmacy</t>
  </si>
  <si>
    <t>INV-2026-011</t>
  </si>
  <si>
    <t>INV-2026-012</t>
  </si>
  <si>
    <t>Magic Mountain Clinic</t>
  </si>
  <si>
    <t>INV-2026-013</t>
  </si>
  <si>
    <t>Summit Heights Care</t>
  </si>
  <si>
    <t>INV-2026-014</t>
  </si>
  <si>
    <t>Copper Hill Senior Care</t>
  </si>
  <si>
    <t>INV-2026-015</t>
  </si>
  <si>
    <t>Vista Valencia Rehab</t>
  </si>
  <si>
    <t>CRITICAL: Write-off Risk</t>
  </si>
  <si>
    <t>Active Collection</t>
  </si>
  <si>
    <t>Settled</t>
  </si>
  <si>
    <t>Metric Description</t>
  </si>
  <si>
    <t>Value</t>
  </si>
  <si>
    <t>Total Outstanding AR</t>
  </si>
  <si>
    <t>Critical Write-off Exposure</t>
  </si>
  <si>
    <t>Active Collections Pipeline</t>
  </si>
  <si>
    <t>Context/Target</t>
  </si>
  <si>
    <t>Gross Ledger Balance</t>
  </si>
  <si>
    <t>Breached 90+ Day Target</t>
  </si>
  <si>
    <t>ACCOUNTS RECEIVABLE AGING &amp; RISK ANALYZER</t>
  </si>
  <si>
    <t>Last Updated:</t>
  </si>
  <si>
    <t>Critical Write-off Exposure (90+ Days)</t>
  </si>
  <si>
    <t>Days_Outstanding</t>
  </si>
  <si>
    <t>Payer_Type</t>
  </si>
  <si>
    <t>Medi-Cal</t>
  </si>
  <si>
    <t>Castaic Medical Group</t>
  </si>
  <si>
    <t>% of AR over 90 days</t>
  </si>
  <si>
    <t>Under 25%</t>
  </si>
  <si>
    <t>Within 90 days</t>
  </si>
  <si>
    <t>Check: components tie to total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</si>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</sst>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70" formatCode="&quot;$&quot;#,##0.00"/>
  </numFmts>
  <fonts count="1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Courier New"/>
      <family val="1"/>
    </font>
    <font>
      <sz val="14"/>
      <color theme="1"/>
      <name val="Aptos Narrow"/>
      <family val="2"/>
      <scheme val="minor"/>
    </font>
    <font>
      <b/>
      <sz val="14"/>
      <color theme="1"/>
      <name val="Verdana"/>
      <family val="2"/>
    </font>
    <font>
      <sz val="12"/>
      <color theme="1"/>
      <name val="Verdana"/>
      <family val="2"/>
    </font>
    <font>
      <b/>
      <sz val="16"/>
      <color theme="0"/>
      <name val="Aptos Narrow (Body)"/>
    </font>
    <font>
      <b/>
      <sz val="18"/>
      <color theme="1"/>
      <name val="Aptos Narrow"/>
      <scheme val="minor"/>
    </font>
    <font>
      <sz val="12"/>
      <color theme="1" tint="0.499984740745262"/>
      <name val="Verdana"/>
      <family val="2"/>
    </font>
    <font>
      <b/>
      <sz val="14"/>
      <color theme="1"/>
      <name val="Aptos Narrow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8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5" fillId="0" borderId="0" xfId="0" applyFont="1"/>
    <xf numFmtId="9" fontId="0" fillId="0" borderId="0" xfId="2" applyFont="1"/>
    <xf numFmtId="14" fontId="5" fillId="0" borderId="0" xfId="0" applyNumberFormat="1" applyFont="1"/>
    <xf numFmtId="44" fontId="5" fillId="0" borderId="0" xfId="1" applyFont="1"/>
    <xf numFmtId="0" fontId="5" fillId="2" borderId="0" xfId="0" applyFont="1" applyFill="1"/>
    <xf numFmtId="0" fontId="0" fillId="0" borderId="0" xfId="0" applyFont="1"/>
    <xf numFmtId="0" fontId="5" fillId="3" borderId="0" xfId="0" applyFont="1" applyFill="1"/>
    <xf numFmtId="0" fontId="5" fillId="0" borderId="0" xfId="0" applyFont="1" applyFill="1"/>
    <xf numFmtId="0" fontId="4" fillId="4" borderId="0" xfId="0" applyFont="1" applyFill="1"/>
    <xf numFmtId="0" fontId="5" fillId="4" borderId="0" xfId="0" applyFont="1" applyFill="1"/>
    <xf numFmtId="0" fontId="6" fillId="5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4" fontId="4" fillId="0" borderId="0" xfId="0" applyNumberFormat="1" applyFont="1"/>
    <xf numFmtId="44" fontId="7" fillId="0" borderId="0" xfId="1" applyFont="1"/>
    <xf numFmtId="0" fontId="8" fillId="6" borderId="0" xfId="0" applyFont="1" applyFill="1"/>
    <xf numFmtId="0" fontId="8" fillId="0" borderId="0" xfId="0" applyFont="1"/>
    <xf numFmtId="0" fontId="9" fillId="0" borderId="0" xfId="0" applyFont="1"/>
    <xf numFmtId="9" fontId="7" fillId="0" borderId="0" xfId="2" applyFont="1"/>
    <xf numFmtId="1" fontId="5" fillId="0" borderId="0" xfId="0" applyNumberFormat="1" applyFont="1" applyFill="1"/>
    <xf numFmtId="170" fontId="5" fillId="4" borderId="0" xfId="1" applyNumberFormat="1" applyFont="1" applyFill="1"/>
    <xf numFmtId="9" fontId="5" fillId="4" borderId="0" xfId="2" applyNumberFormat="1" applyFont="1" applyFill="1"/>
    <xf numFmtId="0" fontId="0" fillId="3" borderId="0" xfId="0" applyFon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812800</xdr:colOff>
      <xdr:row>1</xdr:row>
      <xdr:rowOff>190500</xdr:rowOff>
    </xdr:from>
    <xdr:to>
      <xdr:col>5</xdr:col>
      <xdr:colOff>12700</xdr:colOff>
      <xdr:row>3</xdr:row>
      <xdr:rowOff>0</xdr:rowOff>
    </xdr:to>
    <xdr:sp macro="[0]!RunAgingReport" textlink="">
      <xdr:nvSpPr>
        <xdr:cNvPr id="7" name="Rounded Rectangle 6">
          <a:extLst>
            <a:ext uri="{FF2B5EF4-FFF2-40B4-BE49-F238E27FC236}">
              <a16:creationId xmlns:a16="http://schemas.microsoft.com/office/drawing/2014/main" id="{3EA39143-22BE-73DF-3255-C306F6C1298C}"/>
            </a:ext>
          </a:extLst>
        </xdr:cNvPr>
        <xdr:cNvSpPr/>
      </xdr:nvSpPr>
      <xdr:spPr>
        <a:xfrm>
          <a:off x="2311400" y="469900"/>
          <a:ext cx="1676400" cy="215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/>
            <a:t>  RUN REFRESH PIPELINE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580F-88B2-E848-AC3F-E00DC7D9020E}">
  <sheetPr codeName="Sheet2"/>
  <dimension ref="A1:O11"/>
  <sheetViews>
    <sheetView workbookViewId="0">
      <selection activeCell="D9" sqref="D9"/>
    </sheetView>
  </sheetViews>
  <sheetFormatPr baseColWidth="10" defaultRowHeight="16" x14ac:dyDescent="0.2"/>
  <cols>
    <col min="1" max="1" width="12.1640625" bestFit="1" customWidth="1"/>
    <col min="2" max="2" width="38.1640625" bestFit="1" customWidth="1"/>
    <col min="3" max="3" width="20.5" bestFit="1" customWidth="1"/>
    <col min="4" max="4" width="40" bestFit="1" customWidth="1"/>
    <col min="5" max="5" width="19.83203125" bestFit="1" customWidth="1"/>
    <col min="6" max="6" width="33.83203125" bestFit="1" customWidth="1"/>
    <col min="7" max="7" width="7" bestFit="1" customWidth="1"/>
  </cols>
  <sheetData>
    <row r="1" spans="1:15" ht="22" customHeight="1" x14ac:dyDescent="0.2">
      <c r="A1" s="15" t="s">
        <v>47</v>
      </c>
      <c r="B1" s="15"/>
      <c r="C1" s="15"/>
      <c r="D1" s="15"/>
      <c r="E1" s="15"/>
      <c r="F1" s="15"/>
      <c r="G1" s="15"/>
      <c r="H1" s="15"/>
    </row>
    <row r="2" spans="1:15" x14ac:dyDescent="0.2">
      <c r="A2" s="15"/>
      <c r="B2" s="15"/>
      <c r="C2" s="15"/>
      <c r="D2" s="15"/>
      <c r="E2" s="15"/>
      <c r="F2" s="15"/>
      <c r="G2" s="15"/>
      <c r="H2" s="15"/>
      <c r="K2" s="16"/>
      <c r="L2" s="16"/>
      <c r="M2" s="16"/>
      <c r="N2" s="16"/>
      <c r="O2" s="16"/>
    </row>
    <row r="3" spans="1:15" x14ac:dyDescent="0.2">
      <c r="A3" t="s">
        <v>48</v>
      </c>
      <c r="B3" s="2">
        <v>46264</v>
      </c>
      <c r="F3" s="2"/>
      <c r="G3" s="17"/>
      <c r="K3" s="16"/>
      <c r="L3" s="16"/>
      <c r="M3" s="16"/>
      <c r="N3" s="16"/>
      <c r="O3" s="16"/>
    </row>
    <row r="5" spans="1:15" ht="24" x14ac:dyDescent="0.3">
      <c r="B5" s="20" t="s">
        <v>41</v>
      </c>
      <c r="C5" s="19"/>
      <c r="D5" s="21" t="s">
        <v>49</v>
      </c>
      <c r="F5" s="21" t="s">
        <v>54</v>
      </c>
      <c r="I5" s="21"/>
    </row>
    <row r="6" spans="1:15" ht="24" x14ac:dyDescent="0.3">
      <c r="B6" s="19">
        <f>SUM(Sheet1!E:E)</f>
        <v>95550</v>
      </c>
      <c r="C6" s="19"/>
      <c r="D6" s="19">
        <f>SUMIF(Sheet1!G:G, "CRITICAL: Write-off Risk", Sheet1!E:E)</f>
        <v>67100</v>
      </c>
      <c r="F6" s="23">
        <f>D6/B6</f>
        <v>0.7022501308215594</v>
      </c>
    </row>
    <row r="7" spans="1:15" x14ac:dyDescent="0.2">
      <c r="B7" s="21"/>
      <c r="C7" s="6"/>
    </row>
    <row r="9" spans="1:15" ht="19" x14ac:dyDescent="0.25">
      <c r="B9" s="22"/>
    </row>
    <row r="10" spans="1:15" ht="18" x14ac:dyDescent="0.2">
      <c r="B10" s="4"/>
      <c r="C10" s="4"/>
      <c r="D10" s="4"/>
      <c r="E10" s="4"/>
      <c r="F10" s="4"/>
    </row>
    <row r="11" spans="1:15" ht="19" x14ac:dyDescent="0.25">
      <c r="F11" s="1"/>
    </row>
  </sheetData>
  <mergeCells count="1">
    <mergeCell ref="A1:H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ED89-B50D-F040-9EA9-0672F26CD94F}">
  <sheetPr codeName="Sheet1"/>
  <dimension ref="A1:K16"/>
  <sheetViews>
    <sheetView tabSelected="1" workbookViewId="0">
      <selection activeCell="F20" sqref="F20"/>
    </sheetView>
  </sheetViews>
  <sheetFormatPr baseColWidth="10" defaultRowHeight="16" x14ac:dyDescent="0.2"/>
  <cols>
    <col min="1" max="1" width="16.33203125" bestFit="1" customWidth="1"/>
    <col min="2" max="2" width="28.6640625" bestFit="1" customWidth="1"/>
    <col min="3" max="3" width="17" bestFit="1" customWidth="1"/>
    <col min="4" max="4" width="19.1640625" style="2" bestFit="1" customWidth="1"/>
    <col min="5" max="5" width="18.6640625" bestFit="1" customWidth="1"/>
    <col min="6" max="6" width="25.83203125" style="17" bestFit="1" customWidth="1"/>
    <col min="7" max="7" width="25.6640625" style="17" bestFit="1" customWidth="1"/>
    <col min="8" max="8" width="2.5" customWidth="1"/>
    <col min="9" max="9" width="27.5" bestFit="1" customWidth="1"/>
    <col min="10" max="10" width="13.1640625" bestFit="1" customWidth="1"/>
    <col min="11" max="11" width="27.33203125" bestFit="1" customWidth="1"/>
  </cols>
  <sheetData>
    <row r="1" spans="1:11" ht="19" x14ac:dyDescent="0.25">
      <c r="A1" s="4" t="s">
        <v>0</v>
      </c>
      <c r="B1" s="4" t="s">
        <v>1</v>
      </c>
      <c r="C1" s="4" t="s">
        <v>51</v>
      </c>
      <c r="D1" s="18" t="s">
        <v>2</v>
      </c>
      <c r="E1" s="4" t="s">
        <v>3</v>
      </c>
      <c r="F1" s="4" t="s">
        <v>50</v>
      </c>
      <c r="G1" s="4" t="s">
        <v>4</v>
      </c>
      <c r="H1" s="3"/>
      <c r="I1" s="13" t="s">
        <v>39</v>
      </c>
      <c r="J1" s="13" t="s">
        <v>40</v>
      </c>
      <c r="K1" s="13" t="s">
        <v>44</v>
      </c>
    </row>
    <row r="2" spans="1:11" x14ac:dyDescent="0.2">
      <c r="A2" s="5" t="s">
        <v>5</v>
      </c>
      <c r="B2" s="5" t="s">
        <v>6</v>
      </c>
      <c r="C2" s="5" t="s">
        <v>7</v>
      </c>
      <c r="D2" s="7">
        <v>46091</v>
      </c>
      <c r="E2" s="8">
        <v>14250</v>
      </c>
      <c r="F2" s="24">
        <v>173</v>
      </c>
      <c r="G2" s="9" t="s">
        <v>36</v>
      </c>
      <c r="H2" s="10"/>
      <c r="I2" s="14" t="s">
        <v>41</v>
      </c>
      <c r="J2" s="25">
        <v>95550</v>
      </c>
      <c r="K2" s="14" t="s">
        <v>45</v>
      </c>
    </row>
    <row r="3" spans="1:11" x14ac:dyDescent="0.2">
      <c r="A3" s="5" t="s">
        <v>8</v>
      </c>
      <c r="B3" s="5" t="s">
        <v>9</v>
      </c>
      <c r="C3" s="5" t="s">
        <v>52</v>
      </c>
      <c r="D3" s="7">
        <v>46208</v>
      </c>
      <c r="E3" s="8">
        <v>3400</v>
      </c>
      <c r="F3" s="24">
        <v>56</v>
      </c>
      <c r="G3" s="11" t="s">
        <v>37</v>
      </c>
      <c r="H3" s="10"/>
      <c r="I3" s="14" t="s">
        <v>42</v>
      </c>
      <c r="J3" s="25">
        <v>67100</v>
      </c>
      <c r="K3" s="14" t="s">
        <v>46</v>
      </c>
    </row>
    <row r="4" spans="1:11" x14ac:dyDescent="0.2">
      <c r="A4" s="5" t="s">
        <v>10</v>
      </c>
      <c r="B4" s="5" t="s">
        <v>11</v>
      </c>
      <c r="C4" s="5" t="s">
        <v>12</v>
      </c>
      <c r="D4" s="7">
        <v>46249</v>
      </c>
      <c r="E4" s="8">
        <v>8900</v>
      </c>
      <c r="F4" s="24">
        <v>15</v>
      </c>
      <c r="G4" s="11" t="s">
        <v>37</v>
      </c>
      <c r="H4" s="10"/>
      <c r="I4" s="14" t="s">
        <v>43</v>
      </c>
      <c r="J4" s="25">
        <v>28450</v>
      </c>
      <c r="K4" s="14" t="s">
        <v>56</v>
      </c>
    </row>
    <row r="5" spans="1:11" x14ac:dyDescent="0.2">
      <c r="A5" s="5" t="s">
        <v>13</v>
      </c>
      <c r="B5" s="5" t="s">
        <v>14</v>
      </c>
      <c r="C5" s="5" t="s">
        <v>7</v>
      </c>
      <c r="D5" s="7">
        <v>46044</v>
      </c>
      <c r="E5" s="8">
        <v>22100</v>
      </c>
      <c r="F5" s="24">
        <v>220</v>
      </c>
      <c r="G5" s="9" t="s">
        <v>36</v>
      </c>
      <c r="H5" s="10"/>
      <c r="I5" s="14" t="s">
        <v>54</v>
      </c>
      <c r="J5" s="26">
        <v>0.7022501308215594</v>
      </c>
      <c r="K5" s="14" t="s">
        <v>55</v>
      </c>
    </row>
    <row r="6" spans="1:11" x14ac:dyDescent="0.2">
      <c r="A6" s="5" t="s">
        <v>15</v>
      </c>
      <c r="B6" s="5" t="s">
        <v>16</v>
      </c>
      <c r="C6" s="5" t="s">
        <v>52</v>
      </c>
      <c r="D6" s="7">
        <v>46231</v>
      </c>
      <c r="E6" s="8">
        <v>1250</v>
      </c>
      <c r="F6" s="24">
        <v>33</v>
      </c>
      <c r="G6" s="11" t="s">
        <v>37</v>
      </c>
      <c r="H6" s="10"/>
      <c r="I6" s="10"/>
      <c r="J6" s="10"/>
      <c r="K6" s="10"/>
    </row>
    <row r="7" spans="1:11" x14ac:dyDescent="0.2">
      <c r="A7" s="5" t="s">
        <v>17</v>
      </c>
      <c r="B7" s="5" t="s">
        <v>18</v>
      </c>
      <c r="C7" s="5" t="s">
        <v>12</v>
      </c>
      <c r="D7" s="7">
        <v>46254</v>
      </c>
      <c r="E7" s="8">
        <v>0</v>
      </c>
      <c r="F7" s="24">
        <v>10</v>
      </c>
      <c r="G7" s="12" t="s">
        <v>38</v>
      </c>
      <c r="H7" s="10"/>
      <c r="I7" s="10" t="s">
        <v>57</v>
      </c>
      <c r="J7" s="27" t="s">
        <v>58</v>
      </c>
      <c r="K7" s="10"/>
    </row>
    <row r="8" spans="1:11" x14ac:dyDescent="0.2">
      <c r="A8" s="5" t="s">
        <v>19</v>
      </c>
      <c r="B8" s="5" t="s">
        <v>20</v>
      </c>
      <c r="C8" s="5" t="s">
        <v>7</v>
      </c>
      <c r="D8" s="7">
        <v>46117</v>
      </c>
      <c r="E8" s="8">
        <v>6150</v>
      </c>
      <c r="F8" s="24">
        <v>147</v>
      </c>
      <c r="G8" s="9" t="s">
        <v>36</v>
      </c>
      <c r="H8" s="10"/>
      <c r="I8" s="10"/>
      <c r="J8" s="10"/>
      <c r="K8" s="10"/>
    </row>
    <row r="9" spans="1:11" x14ac:dyDescent="0.2">
      <c r="A9" s="5" t="s">
        <v>21</v>
      </c>
      <c r="B9" s="5" t="s">
        <v>22</v>
      </c>
      <c r="C9" s="5" t="s">
        <v>52</v>
      </c>
      <c r="D9" s="7">
        <v>46154</v>
      </c>
      <c r="E9" s="8">
        <v>7800</v>
      </c>
      <c r="F9" s="24">
        <v>110</v>
      </c>
      <c r="G9" s="9" t="s">
        <v>36</v>
      </c>
      <c r="H9" s="10"/>
      <c r="I9" s="10"/>
      <c r="J9" s="10"/>
      <c r="K9" s="10"/>
    </row>
    <row r="10" spans="1:11" x14ac:dyDescent="0.2">
      <c r="A10" s="5" t="s">
        <v>23</v>
      </c>
      <c r="B10" s="5" t="s">
        <v>24</v>
      </c>
      <c r="C10" s="5" t="s">
        <v>12</v>
      </c>
      <c r="D10" s="7">
        <v>46235</v>
      </c>
      <c r="E10" s="8">
        <v>4100</v>
      </c>
      <c r="F10" s="24">
        <v>29</v>
      </c>
      <c r="G10" s="11" t="s">
        <v>37</v>
      </c>
      <c r="H10" s="10"/>
      <c r="I10" s="10"/>
      <c r="J10" s="10"/>
      <c r="K10" s="10"/>
    </row>
    <row r="11" spans="1:11" x14ac:dyDescent="0.2">
      <c r="A11" s="5" t="s">
        <v>25</v>
      </c>
      <c r="B11" s="5" t="s">
        <v>26</v>
      </c>
      <c r="C11" s="5" t="s">
        <v>7</v>
      </c>
      <c r="D11" s="7">
        <v>46081</v>
      </c>
      <c r="E11" s="8">
        <v>0</v>
      </c>
      <c r="F11" s="24">
        <v>183</v>
      </c>
      <c r="G11" s="12" t="s">
        <v>38</v>
      </c>
      <c r="H11" s="10"/>
      <c r="I11" s="10"/>
      <c r="J11" s="10"/>
      <c r="K11" s="10"/>
    </row>
    <row r="12" spans="1:11" x14ac:dyDescent="0.2">
      <c r="A12" s="5" t="s">
        <v>27</v>
      </c>
      <c r="B12" s="5" t="s">
        <v>53</v>
      </c>
      <c r="C12" s="5" t="s">
        <v>52</v>
      </c>
      <c r="D12" s="7">
        <v>46191</v>
      </c>
      <c r="E12" s="8">
        <v>9300</v>
      </c>
      <c r="F12" s="24">
        <v>73</v>
      </c>
      <c r="G12" s="11" t="s">
        <v>37</v>
      </c>
      <c r="H12" s="10"/>
      <c r="I12" s="10"/>
      <c r="J12" s="10"/>
      <c r="K12" s="10"/>
    </row>
    <row r="13" spans="1:11" x14ac:dyDescent="0.2">
      <c r="A13" s="5" t="s">
        <v>28</v>
      </c>
      <c r="B13" s="5" t="s">
        <v>29</v>
      </c>
      <c r="C13" s="5" t="s">
        <v>12</v>
      </c>
      <c r="D13" s="7">
        <v>46258</v>
      </c>
      <c r="E13" s="8">
        <v>1500</v>
      </c>
      <c r="F13" s="24">
        <v>6</v>
      </c>
      <c r="G13" s="11" t="s">
        <v>37</v>
      </c>
      <c r="H13" s="10"/>
      <c r="I13" s="10"/>
      <c r="J13" s="10"/>
      <c r="K13" s="10"/>
    </row>
    <row r="14" spans="1:11" x14ac:dyDescent="0.2">
      <c r="A14" s="5" t="s">
        <v>30</v>
      </c>
      <c r="B14" s="5" t="s">
        <v>31</v>
      </c>
      <c r="C14" s="5" t="s">
        <v>7</v>
      </c>
      <c r="D14" s="7">
        <v>46111</v>
      </c>
      <c r="E14" s="8">
        <v>11200</v>
      </c>
      <c r="F14" s="24">
        <v>153</v>
      </c>
      <c r="G14" s="9" t="s">
        <v>36</v>
      </c>
      <c r="H14" s="10"/>
      <c r="I14" s="10"/>
      <c r="J14" s="10"/>
      <c r="K14" s="10"/>
    </row>
    <row r="15" spans="1:11" x14ac:dyDescent="0.2">
      <c r="A15" s="5" t="s">
        <v>32</v>
      </c>
      <c r="B15" s="5" t="s">
        <v>33</v>
      </c>
      <c r="C15" s="5" t="s">
        <v>52</v>
      </c>
      <c r="D15" s="7">
        <v>46215</v>
      </c>
      <c r="E15" s="8">
        <v>0</v>
      </c>
      <c r="F15" s="24">
        <v>49</v>
      </c>
      <c r="G15" s="12" t="s">
        <v>38</v>
      </c>
      <c r="H15" s="10"/>
      <c r="I15" s="10"/>
      <c r="J15" s="10"/>
      <c r="K15" s="10"/>
    </row>
    <row r="16" spans="1:11" x14ac:dyDescent="0.2">
      <c r="A16" s="5" t="s">
        <v>34</v>
      </c>
      <c r="B16" s="5" t="s">
        <v>35</v>
      </c>
      <c r="C16" s="5" t="s">
        <v>12</v>
      </c>
      <c r="D16" s="7">
        <v>46143</v>
      </c>
      <c r="E16" s="8">
        <v>5600</v>
      </c>
      <c r="F16" s="24">
        <v>121</v>
      </c>
      <c r="G16" s="9" t="s">
        <v>36</v>
      </c>
      <c r="H16" s="10"/>
      <c r="I16" s="10"/>
      <c r="J16" s="10"/>
      <c r="K16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Yarlagadda, Chaitanya</dc:creator>
  <cp:lastModifiedBy>Yarlagadda, Chaitanya</cp:lastModifiedBy>
  <dcterms:created xsi:type="dcterms:W3CDTF">2026-08-29T01:19:50Z</dcterms:created>
  <dcterms:modified xsi:type="dcterms:W3CDTF">2026-08-31T02:40:03Z</dcterms:modified>
</cp:coreProperties>
</file>